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iccuby\Downloads\"/>
    </mc:Choice>
  </mc:AlternateContent>
  <xr:revisionPtr revIDLastSave="0" documentId="13_ncr:1_{F8360B1C-E9FC-4760-B020-07E0861D05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4" i="1" l="1"/>
  <c r="AC45" i="1"/>
  <c r="AC40" i="1"/>
  <c r="AC30" i="1"/>
  <c r="AC25" i="1"/>
  <c r="AC9" i="1"/>
  <c r="S45" i="1"/>
  <c r="S40" i="1"/>
  <c r="S30" i="1"/>
  <c r="S25" i="1"/>
  <c r="S14" i="1"/>
  <c r="S9" i="1"/>
  <c r="I45" i="1"/>
  <c r="I40" i="1"/>
  <c r="I30" i="1"/>
  <c r="I25" i="1"/>
  <c r="I14" i="1"/>
  <c r="I9" i="1"/>
</calcChain>
</file>

<file path=xl/sharedStrings.xml><?xml version="1.0" encoding="utf-8"?>
<sst xmlns="http://schemas.openxmlformats.org/spreadsheetml/2006/main" count="180" uniqueCount="23">
  <si>
    <t>Model</t>
  </si>
  <si>
    <t>Alloy_number</t>
  </si>
  <si>
    <t>Hc_predict</t>
  </si>
  <si>
    <t>Hc_true</t>
  </si>
  <si>
    <t>ETR</t>
  </si>
  <si>
    <t>XGB</t>
  </si>
  <si>
    <t>Js_predict</t>
  </si>
  <si>
    <t>Js_true</t>
  </si>
  <si>
    <t>rho_predict</t>
  </si>
  <si>
    <t>rho_true</t>
  </si>
  <si>
    <t>WenAlloys Coercivity</t>
  </si>
  <si>
    <t>WenAlloys Saturation Polarization</t>
  </si>
  <si>
    <t>WenAlloys Resistivity</t>
  </si>
  <si>
    <t>Oliynyk Coercivity</t>
  </si>
  <si>
    <t>Oliynyk Saturation Polarization</t>
  </si>
  <si>
    <t>Oliynyk Resistivity</t>
  </si>
  <si>
    <t>Error</t>
  </si>
  <si>
    <t>MAPE</t>
  </si>
  <si>
    <t>Composition Coercivity</t>
  </si>
  <si>
    <t>Composition Saturation Polarization</t>
  </si>
  <si>
    <t>Composition Resistivity</t>
  </si>
  <si>
    <t>AE</t>
  </si>
  <si>
    <t>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</si>
</sst>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rial Black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4C9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3" borderId="5" xfId="0" applyFill="1" applyBorder="1"/>
    <xf numFmtId="0" fontId="0" fillId="3" borderId="0" xfId="0" applyFill="1"/>
    <xf numFmtId="2" fontId="0" fillId="3" borderId="0" xfId="0" applyNumberFormat="1" applyFill="1"/>
    <xf numFmtId="0" fontId="0" fillId="4" borderId="5" xfId="0" applyFill="1" applyBorder="1"/>
    <xf numFmtId="0" fontId="0" fillId="4" borderId="0" xfId="0" applyFill="1"/>
    <xf numFmtId="2" fontId="0" fillId="4" borderId="0" xfId="0" applyNumberFormat="1" applyFill="1"/>
    <xf numFmtId="0" fontId="0" fillId="5" borderId="5" xfId="0" applyFill="1" applyBorder="1"/>
    <xf numFmtId="0" fontId="0" fillId="5" borderId="0" xfId="0" applyFill="1"/>
    <xf numFmtId="2" fontId="0" fillId="5" borderId="0" xfId="0" applyNumberFormat="1" applyFill="1"/>
    <xf numFmtId="0" fontId="0" fillId="6" borderId="7" xfId="0" applyFill="1" applyBorder="1"/>
    <xf numFmtId="0" fontId="0" fillId="6" borderId="8" xfId="0" applyFill="1" applyBorder="1"/>
    <xf numFmtId="2" fontId="0" fillId="6" borderId="8" xfId="0" applyNumberFormat="1" applyFill="1" applyBorder="1"/>
    <xf numFmtId="164" fontId="0" fillId="2" borderId="3" xfId="0" applyNumberFormat="1" applyFill="1" applyBorder="1"/>
    <xf numFmtId="164" fontId="0" fillId="2" borderId="4" xfId="0" applyNumberFormat="1" applyFill="1" applyBorder="1"/>
    <xf numFmtId="164" fontId="0" fillId="3" borderId="0" xfId="0" applyNumberFormat="1" applyFill="1"/>
    <xf numFmtId="164" fontId="0" fillId="3" borderId="6" xfId="0" applyNumberFormat="1" applyFill="1" applyBorder="1"/>
    <xf numFmtId="164" fontId="0" fillId="4" borderId="0" xfId="0" applyNumberFormat="1" applyFill="1"/>
    <xf numFmtId="164" fontId="0" fillId="4" borderId="6" xfId="0" applyNumberFormat="1" applyFill="1" applyBorder="1"/>
    <xf numFmtId="164" fontId="0" fillId="5" borderId="0" xfId="0" applyNumberFormat="1" applyFill="1"/>
    <xf numFmtId="164" fontId="0" fillId="5" borderId="6" xfId="0" applyNumberFormat="1" applyFill="1" applyBorder="1"/>
    <xf numFmtId="164" fontId="0" fillId="6" borderId="8" xfId="0" applyNumberFormat="1" applyFill="1" applyBorder="1"/>
    <xf numFmtId="164" fontId="0" fillId="6" borderId="9" xfId="0" applyNumberFormat="1" applyFill="1" applyBorder="1"/>
    <xf numFmtId="0" fontId="1" fillId="0" borderId="0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1" xfId="0" applyFont="1" applyBorder="1"/>
    <xf numFmtId="164" fontId="4" fillId="7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4C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E45"/>
  <sheetViews>
    <sheetView tabSelected="1" topLeftCell="O16" workbookViewId="0">
      <selection activeCell="AC45" sqref="AC45"/>
    </sheetView>
  </sheetViews>
  <sheetFormatPr defaultRowHeight="14.4" x14ac:dyDescent="0.3"/>
  <cols>
    <col min="2" max="2" width="11" customWidth="1"/>
    <col min="3" max="3" width="14.33203125" customWidth="1"/>
    <col min="4" max="4" width="13" customWidth="1"/>
    <col min="7" max="7" width="11.5546875" customWidth="1"/>
    <col min="8" max="8" width="23.33203125" customWidth="1"/>
    <col min="13" max="13" width="14" customWidth="1"/>
    <col min="14" max="14" width="13" customWidth="1"/>
    <col min="15" max="15" width="9.33203125" customWidth="1"/>
    <col min="17" max="17" width="12.6640625" customWidth="1"/>
    <col min="18" max="18" width="20.88671875" customWidth="1"/>
    <col min="22" max="22" width="13.6640625" customWidth="1"/>
    <col min="23" max="23" width="13.44140625" customWidth="1"/>
    <col min="24" max="24" width="13" customWidth="1"/>
    <col min="27" max="27" width="12" customWidth="1"/>
    <col min="28" max="28" width="21.109375" customWidth="1"/>
  </cols>
  <sheetData>
    <row r="3" spans="2:31" ht="17.399999999999999" x14ac:dyDescent="0.45">
      <c r="D3" s="29" t="s">
        <v>18</v>
      </c>
      <c r="E3" s="30"/>
      <c r="F3" s="30"/>
      <c r="G3" s="31"/>
      <c r="N3" s="29" t="s">
        <v>19</v>
      </c>
      <c r="O3" s="30"/>
      <c r="P3" s="30"/>
      <c r="Q3" s="31"/>
      <c r="X3" s="29" t="s">
        <v>20</v>
      </c>
      <c r="Y3" s="30"/>
      <c r="Z3" s="30"/>
      <c r="AA3" s="31"/>
    </row>
    <row r="4" spans="2:31" x14ac:dyDescent="0.3">
      <c r="B4" s="1" t="s">
        <v>0</v>
      </c>
      <c r="C4" s="1" t="s">
        <v>1</v>
      </c>
      <c r="D4" s="28" t="s">
        <v>2</v>
      </c>
      <c r="E4" s="1" t="s">
        <v>3</v>
      </c>
      <c r="F4" s="28" t="s">
        <v>16</v>
      </c>
      <c r="G4" s="28" t="s">
        <v>21</v>
      </c>
      <c r="H4" s="28" t="s">
        <v>22</v>
      </c>
      <c r="L4" s="1" t="s">
        <v>0</v>
      </c>
      <c r="M4" s="1" t="s">
        <v>1</v>
      </c>
      <c r="N4" s="1" t="s">
        <v>6</v>
      </c>
      <c r="O4" s="1" t="s">
        <v>7</v>
      </c>
      <c r="P4" s="1" t="s">
        <v>16</v>
      </c>
      <c r="Q4" s="28" t="s">
        <v>21</v>
      </c>
      <c r="R4" s="28" t="s">
        <v>22</v>
      </c>
      <c r="V4" s="28" t="s">
        <v>0</v>
      </c>
      <c r="W4" s="28" t="s">
        <v>1</v>
      </c>
      <c r="X4" s="28" t="s">
        <v>8</v>
      </c>
      <c r="Y4" s="28" t="s">
        <v>9</v>
      </c>
      <c r="Z4" s="28" t="s">
        <v>16</v>
      </c>
      <c r="AA4" s="28" t="s">
        <v>21</v>
      </c>
      <c r="AB4" s="28" t="s">
        <v>22</v>
      </c>
      <c r="AE4" s="27"/>
    </row>
    <row r="5" spans="2:31" x14ac:dyDescent="0.3">
      <c r="B5" s="2" t="s">
        <v>4</v>
      </c>
      <c r="C5" s="3">
        <v>1</v>
      </c>
      <c r="D5" s="17">
        <v>4.1455500000000018</v>
      </c>
      <c r="E5" s="17">
        <v>5.6</v>
      </c>
      <c r="F5" s="17">
        <v>-1.454449999999998</v>
      </c>
      <c r="G5" s="17">
        <v>1.454449999999998</v>
      </c>
      <c r="H5" s="18">
        <v>25.972321428571391</v>
      </c>
      <c r="L5" s="2" t="s">
        <v>4</v>
      </c>
      <c r="M5" s="3">
        <v>1</v>
      </c>
      <c r="N5" s="4">
        <v>1.1087830132140919</v>
      </c>
      <c r="O5" s="4">
        <v>0.93700000000000006</v>
      </c>
      <c r="P5" s="4">
        <v>0.17178301321409181</v>
      </c>
      <c r="Q5" s="4">
        <v>0.17178301321409181</v>
      </c>
      <c r="R5" s="18">
        <v>18.333299169059959</v>
      </c>
      <c r="V5" s="2" t="s">
        <v>4</v>
      </c>
      <c r="W5" s="3">
        <v>1</v>
      </c>
      <c r="X5" s="17">
        <v>80.705098684210427</v>
      </c>
      <c r="Y5" s="17">
        <v>86.8</v>
      </c>
      <c r="Z5" s="17">
        <v>-6.0949013157895706</v>
      </c>
      <c r="AA5" s="17">
        <v>6.0949013157895706</v>
      </c>
      <c r="AB5" s="18">
        <v>7.0217757094349897</v>
      </c>
    </row>
    <row r="6" spans="2:31" x14ac:dyDescent="0.3">
      <c r="B6" s="5" t="s">
        <v>4</v>
      </c>
      <c r="C6" s="6">
        <v>2</v>
      </c>
      <c r="D6" s="19">
        <v>3.4337500000000012</v>
      </c>
      <c r="E6" s="19">
        <v>5.47</v>
      </c>
      <c r="F6" s="19">
        <v>-2.036249999999999</v>
      </c>
      <c r="G6" s="19">
        <v>2.036249999999999</v>
      </c>
      <c r="H6" s="20">
        <v>37.225776965265062</v>
      </c>
      <c r="L6" s="5" t="s">
        <v>4</v>
      </c>
      <c r="M6" s="6">
        <v>2</v>
      </c>
      <c r="N6" s="7">
        <v>0.89312970119688895</v>
      </c>
      <c r="O6" s="7">
        <v>0.88400000000000001</v>
      </c>
      <c r="P6" s="7">
        <v>9.1297011968889397E-3</v>
      </c>
      <c r="Q6" s="7">
        <v>9.1297011968889397E-3</v>
      </c>
      <c r="R6" s="20">
        <v>1.0327716286073461</v>
      </c>
      <c r="V6" s="5" t="s">
        <v>4</v>
      </c>
      <c r="W6" s="6">
        <v>2</v>
      </c>
      <c r="X6" s="19">
        <v>104.68388157894729</v>
      </c>
      <c r="Y6" s="19">
        <v>106.9</v>
      </c>
      <c r="Z6" s="19">
        <v>-2.2161184210526979</v>
      </c>
      <c r="AA6" s="19">
        <v>2.2161184210526979</v>
      </c>
      <c r="AB6" s="20">
        <v>2.0730761656246011</v>
      </c>
    </row>
    <row r="7" spans="2:31" x14ac:dyDescent="0.3">
      <c r="B7" s="8" t="s">
        <v>4</v>
      </c>
      <c r="C7" s="9">
        <v>3</v>
      </c>
      <c r="D7" s="21">
        <v>11.789849999999999</v>
      </c>
      <c r="E7" s="21">
        <v>26.16</v>
      </c>
      <c r="F7" s="21">
        <v>-14.370150000000001</v>
      </c>
      <c r="G7" s="21">
        <v>14.370150000000001</v>
      </c>
      <c r="H7" s="22">
        <v>54.931766055045863</v>
      </c>
      <c r="L7" s="8" t="s">
        <v>4</v>
      </c>
      <c r="M7" s="9">
        <v>3</v>
      </c>
      <c r="N7" s="10">
        <v>0.64722810846560797</v>
      </c>
      <c r="O7" s="10">
        <v>0.60699999999999998</v>
      </c>
      <c r="P7" s="10">
        <v>4.0228108465607981E-2</v>
      </c>
      <c r="Q7" s="10">
        <v>4.0228108465607981E-2</v>
      </c>
      <c r="R7" s="22">
        <v>6.6273654803308046</v>
      </c>
      <c r="V7" s="8" t="s">
        <v>4</v>
      </c>
      <c r="W7" s="9">
        <v>3</v>
      </c>
      <c r="X7" s="21">
        <v>132.8223684210522</v>
      </c>
      <c r="Y7" s="21">
        <v>146.1</v>
      </c>
      <c r="Z7" s="21">
        <v>-13.27763157894776</v>
      </c>
      <c r="AA7" s="21">
        <v>13.27763157894776</v>
      </c>
      <c r="AB7" s="22">
        <v>9.0880435174180434</v>
      </c>
    </row>
    <row r="8" spans="2:31" x14ac:dyDescent="0.3">
      <c r="B8" s="11" t="s">
        <v>4</v>
      </c>
      <c r="C8" s="12">
        <v>4</v>
      </c>
      <c r="D8" s="23">
        <v>24.581074999999998</v>
      </c>
      <c r="E8" s="23">
        <v>47.29</v>
      </c>
      <c r="F8" s="23">
        <v>-22.708925000000001</v>
      </c>
      <c r="G8" s="23">
        <v>22.708925000000001</v>
      </c>
      <c r="H8" s="24">
        <v>48.020564601395641</v>
      </c>
      <c r="I8" s="32" t="s">
        <v>17</v>
      </c>
      <c r="L8" s="11" t="s">
        <v>4</v>
      </c>
      <c r="M8" s="12">
        <v>4</v>
      </c>
      <c r="N8" s="13">
        <v>0.74929366963283794</v>
      </c>
      <c r="O8" s="13">
        <v>0.79400000000000004</v>
      </c>
      <c r="P8" s="13">
        <v>-4.4706330367162088E-2</v>
      </c>
      <c r="Q8" s="13">
        <v>4.4706330367162088E-2</v>
      </c>
      <c r="R8" s="24">
        <v>5.6305201973755787</v>
      </c>
      <c r="S8" s="32" t="s">
        <v>17</v>
      </c>
      <c r="V8" s="11" t="s">
        <v>4</v>
      </c>
      <c r="W8" s="12">
        <v>4</v>
      </c>
      <c r="X8" s="23">
        <v>101.1710526315788</v>
      </c>
      <c r="Y8" s="23">
        <v>122.8</v>
      </c>
      <c r="Z8" s="23">
        <v>-21.62894736842118</v>
      </c>
      <c r="AA8" s="23">
        <v>21.62894736842118</v>
      </c>
      <c r="AB8" s="24">
        <v>17.613149322818551</v>
      </c>
      <c r="AC8" s="32" t="s">
        <v>17</v>
      </c>
    </row>
    <row r="9" spans="2:31" x14ac:dyDescent="0.3">
      <c r="B9" s="14" t="s">
        <v>4</v>
      </c>
      <c r="C9" s="15">
        <v>5</v>
      </c>
      <c r="D9" s="25">
        <v>14.25117500000003</v>
      </c>
      <c r="E9" s="25">
        <v>26.24</v>
      </c>
      <c r="F9" s="25">
        <v>-11.98882499999997</v>
      </c>
      <c r="G9" s="25">
        <v>11.98882499999997</v>
      </c>
      <c r="H9" s="26">
        <v>45.689119664634028</v>
      </c>
      <c r="I9" s="33">
        <f>AVERAGE(H5:H9)</f>
        <v>42.367909742982398</v>
      </c>
      <c r="L9" s="14" t="s">
        <v>4</v>
      </c>
      <c r="M9" s="15">
        <v>5</v>
      </c>
      <c r="N9" s="16">
        <v>1.6694450934970371</v>
      </c>
      <c r="O9" s="16">
        <v>1.5740000000000001</v>
      </c>
      <c r="P9" s="16">
        <v>9.5445093497037004E-2</v>
      </c>
      <c r="Q9" s="16">
        <v>9.5445093497037004E-2</v>
      </c>
      <c r="R9" s="26">
        <v>6.0638560036236973</v>
      </c>
      <c r="S9" s="33">
        <f>AVERAGE(R5:R9)</f>
        <v>7.5375624957994773</v>
      </c>
      <c r="V9" s="14" t="s">
        <v>4</v>
      </c>
      <c r="W9" s="15">
        <v>5</v>
      </c>
      <c r="X9" s="25">
        <v>93.364967105263275</v>
      </c>
      <c r="Y9" s="25">
        <v>101.2</v>
      </c>
      <c r="Z9" s="25">
        <v>-7.8350328947367274</v>
      </c>
      <c r="AA9" s="25">
        <v>7.8350328947367274</v>
      </c>
      <c r="AB9" s="26">
        <v>7.7421273663406396</v>
      </c>
      <c r="AC9" s="33">
        <f>AVERAGE(AB5:AB9)</f>
        <v>8.7076344163273642</v>
      </c>
    </row>
    <row r="10" spans="2:31" x14ac:dyDescent="0.3">
      <c r="B10" s="2" t="s">
        <v>5</v>
      </c>
      <c r="C10" s="3">
        <v>1</v>
      </c>
      <c r="D10" s="17">
        <v>5.1913914680480957</v>
      </c>
      <c r="E10" s="17">
        <v>5.6</v>
      </c>
      <c r="F10" s="17">
        <v>-0.40860853195190389</v>
      </c>
      <c r="G10" s="17">
        <v>0.40860853195190389</v>
      </c>
      <c r="H10" s="18">
        <v>7.2965809277125704</v>
      </c>
      <c r="L10" s="2" t="s">
        <v>5</v>
      </c>
      <c r="M10" s="3">
        <v>1</v>
      </c>
      <c r="N10" s="4">
        <v>1.105050206184387</v>
      </c>
      <c r="O10" s="4">
        <v>0.93700000000000006</v>
      </c>
      <c r="P10" s="4">
        <v>0.16805020618438721</v>
      </c>
      <c r="Q10" s="4">
        <v>0.16805020618438721</v>
      </c>
      <c r="R10" s="18">
        <v>17.93492061733054</v>
      </c>
      <c r="V10" s="2" t="s">
        <v>5</v>
      </c>
      <c r="W10" s="3">
        <v>1</v>
      </c>
      <c r="X10" s="17">
        <v>74.578804016113281</v>
      </c>
      <c r="Y10" s="17">
        <v>86.8</v>
      </c>
      <c r="Z10" s="17">
        <v>-12.221195983886719</v>
      </c>
      <c r="AA10" s="17">
        <v>12.221195983886719</v>
      </c>
      <c r="AB10" s="18">
        <v>14.079718875445529</v>
      </c>
    </row>
    <row r="11" spans="2:31" x14ac:dyDescent="0.3">
      <c r="B11" s="5" t="s">
        <v>5</v>
      </c>
      <c r="C11" s="6">
        <v>2</v>
      </c>
      <c r="D11" s="19">
        <v>3.6597917079925542</v>
      </c>
      <c r="E11" s="19">
        <v>5.47</v>
      </c>
      <c r="F11" s="19">
        <v>-1.810208292007446</v>
      </c>
      <c r="G11" s="19">
        <v>1.810208292007446</v>
      </c>
      <c r="H11" s="20">
        <v>33.093387422439598</v>
      </c>
      <c r="L11" s="5" t="s">
        <v>5</v>
      </c>
      <c r="M11" s="6">
        <v>2</v>
      </c>
      <c r="N11" s="7">
        <v>0.91320818662643433</v>
      </c>
      <c r="O11" s="7">
        <v>0.88400000000000001</v>
      </c>
      <c r="P11" s="7">
        <v>2.9208186626434322E-2</v>
      </c>
      <c r="Q11" s="7">
        <v>2.9208186626434322E-2</v>
      </c>
      <c r="R11" s="20">
        <v>3.3040935097776378</v>
      </c>
      <c r="V11" s="5" t="s">
        <v>5</v>
      </c>
      <c r="W11" s="6">
        <v>2</v>
      </c>
      <c r="X11" s="19">
        <v>103.7990036010742</v>
      </c>
      <c r="Y11" s="19">
        <v>106.9</v>
      </c>
      <c r="Z11" s="19">
        <v>-3.1009963989257869</v>
      </c>
      <c r="AA11" s="19">
        <v>3.1009963989257869</v>
      </c>
      <c r="AB11" s="20">
        <v>2.9008385396873591</v>
      </c>
    </row>
    <row r="12" spans="2:31" x14ac:dyDescent="0.3">
      <c r="B12" s="8" t="s">
        <v>5</v>
      </c>
      <c r="C12" s="9">
        <v>3</v>
      </c>
      <c r="D12" s="21">
        <v>14.289290428161619</v>
      </c>
      <c r="E12" s="21">
        <v>26.16</v>
      </c>
      <c r="F12" s="21">
        <v>-11.870709571838381</v>
      </c>
      <c r="G12" s="21">
        <v>11.870709571838381</v>
      </c>
      <c r="H12" s="22">
        <v>45.377330167577902</v>
      </c>
      <c r="L12" s="8" t="s">
        <v>5</v>
      </c>
      <c r="M12" s="9">
        <v>3</v>
      </c>
      <c r="N12" s="10">
        <v>0.52593940496444702</v>
      </c>
      <c r="O12" s="10">
        <v>0.60699999999999998</v>
      </c>
      <c r="P12" s="10">
        <v>-8.1060595035552963E-2</v>
      </c>
      <c r="Q12" s="10">
        <v>8.1060595035552963E-2</v>
      </c>
      <c r="R12" s="22">
        <v>13.354299017389289</v>
      </c>
      <c r="V12" s="8" t="s">
        <v>5</v>
      </c>
      <c r="W12" s="9">
        <v>3</v>
      </c>
      <c r="X12" s="21">
        <v>135.2191162109375</v>
      </c>
      <c r="Y12" s="21">
        <v>146.1</v>
      </c>
      <c r="Z12" s="21">
        <v>-10.880883789062491</v>
      </c>
      <c r="AA12" s="21">
        <v>10.880883789062491</v>
      </c>
      <c r="AB12" s="22">
        <v>7.4475590616444176</v>
      </c>
    </row>
    <row r="13" spans="2:31" x14ac:dyDescent="0.3">
      <c r="B13" s="11" t="s">
        <v>5</v>
      </c>
      <c r="C13" s="12">
        <v>4</v>
      </c>
      <c r="D13" s="23">
        <v>29.12613677978516</v>
      </c>
      <c r="E13" s="23">
        <v>47.29</v>
      </c>
      <c r="F13" s="23">
        <v>-18.163863220214839</v>
      </c>
      <c r="G13" s="23">
        <v>18.163863220214839</v>
      </c>
      <c r="H13" s="24">
        <v>38.409522563364021</v>
      </c>
      <c r="I13" s="32" t="s">
        <v>17</v>
      </c>
      <c r="L13" s="11" t="s">
        <v>5</v>
      </c>
      <c r="M13" s="12">
        <v>4</v>
      </c>
      <c r="N13" s="13">
        <v>0.67040115594863892</v>
      </c>
      <c r="O13" s="13">
        <v>0.79400000000000004</v>
      </c>
      <c r="P13" s="13">
        <v>-0.1235988440513611</v>
      </c>
      <c r="Q13" s="13">
        <v>0.1235988440513611</v>
      </c>
      <c r="R13" s="24">
        <v>15.566605044252031</v>
      </c>
      <c r="S13" s="32" t="s">
        <v>17</v>
      </c>
      <c r="V13" s="11" t="s">
        <v>5</v>
      </c>
      <c r="W13" s="12">
        <v>4</v>
      </c>
      <c r="X13" s="23">
        <v>107.89865875244141</v>
      </c>
      <c r="Y13" s="23">
        <v>122.8</v>
      </c>
      <c r="Z13" s="23">
        <v>-14.901341247558589</v>
      </c>
      <c r="AA13" s="23">
        <v>14.901341247558589</v>
      </c>
      <c r="AB13" s="24">
        <v>12.134642709738269</v>
      </c>
      <c r="AC13" s="32" t="s">
        <v>17</v>
      </c>
    </row>
    <row r="14" spans="2:31" x14ac:dyDescent="0.3">
      <c r="B14" s="14" t="s">
        <v>5</v>
      </c>
      <c r="C14" s="15">
        <v>5</v>
      </c>
      <c r="D14" s="25">
        <v>12.841836929321291</v>
      </c>
      <c r="E14" s="25">
        <v>26.24</v>
      </c>
      <c r="F14" s="25">
        <v>-13.398163070678709</v>
      </c>
      <c r="G14" s="25">
        <v>13.398163070678709</v>
      </c>
      <c r="H14" s="26">
        <v>51.060072677891426</v>
      </c>
      <c r="I14" s="33">
        <f>AVERAGE(H10:H14)</f>
        <v>35.047378751797098</v>
      </c>
      <c r="L14" s="14" t="s">
        <v>5</v>
      </c>
      <c r="M14" s="15">
        <v>5</v>
      </c>
      <c r="N14" s="16">
        <v>1.622699379920959</v>
      </c>
      <c r="O14" s="16">
        <v>1.5740000000000001</v>
      </c>
      <c r="P14" s="16">
        <v>4.8699379920959407E-2</v>
      </c>
      <c r="Q14" s="16">
        <v>4.8699379920959407E-2</v>
      </c>
      <c r="R14" s="26">
        <v>3.0939885591460872</v>
      </c>
      <c r="S14" s="33">
        <f>AVERAGE(R10:R14)</f>
        <v>10.650781349579116</v>
      </c>
      <c r="V14" s="14" t="s">
        <v>5</v>
      </c>
      <c r="W14" s="15">
        <v>5</v>
      </c>
      <c r="X14" s="25">
        <v>94.948944091796875</v>
      </c>
      <c r="Y14" s="25">
        <v>101.2</v>
      </c>
      <c r="Z14" s="25">
        <v>-6.2510559082031278</v>
      </c>
      <c r="AA14" s="25">
        <v>6.2510559082031278</v>
      </c>
      <c r="AB14" s="26">
        <v>6.1769327156157381</v>
      </c>
      <c r="AC14" s="33">
        <f>AVERAGE(AB10:AB14)</f>
        <v>8.5479383804262632</v>
      </c>
    </row>
    <row r="19" spans="2:29" ht="17.399999999999999" x14ac:dyDescent="0.45">
      <c r="D19" s="29" t="s">
        <v>10</v>
      </c>
      <c r="E19" s="30"/>
      <c r="F19" s="30"/>
      <c r="G19" s="31"/>
      <c r="N19" s="29" t="s">
        <v>11</v>
      </c>
      <c r="O19" s="30"/>
      <c r="P19" s="30"/>
      <c r="Q19" s="31"/>
      <c r="X19" s="29" t="s">
        <v>12</v>
      </c>
      <c r="Y19" s="30"/>
      <c r="Z19" s="30"/>
      <c r="AA19" s="31"/>
    </row>
    <row r="20" spans="2:29" x14ac:dyDescent="0.3">
      <c r="B20" s="1" t="s">
        <v>0</v>
      </c>
      <c r="C20" s="1" t="s">
        <v>1</v>
      </c>
      <c r="D20" s="28" t="s">
        <v>2</v>
      </c>
      <c r="E20" s="1" t="s">
        <v>3</v>
      </c>
      <c r="F20" s="28" t="s">
        <v>16</v>
      </c>
      <c r="G20" s="28" t="s">
        <v>21</v>
      </c>
      <c r="H20" s="28" t="s">
        <v>22</v>
      </c>
      <c r="L20" s="1" t="s">
        <v>0</v>
      </c>
      <c r="M20" s="1" t="s">
        <v>1</v>
      </c>
      <c r="N20" s="1" t="s">
        <v>6</v>
      </c>
      <c r="O20" s="1" t="s">
        <v>7</v>
      </c>
      <c r="P20" s="1" t="s">
        <v>16</v>
      </c>
      <c r="Q20" s="28" t="s">
        <v>21</v>
      </c>
      <c r="R20" s="28" t="s">
        <v>22</v>
      </c>
      <c r="V20" s="1" t="s">
        <v>0</v>
      </c>
      <c r="W20" s="1" t="s">
        <v>1</v>
      </c>
      <c r="X20" s="1" t="s">
        <v>8</v>
      </c>
      <c r="Y20" s="1" t="s">
        <v>9</v>
      </c>
      <c r="Z20" s="1" t="s">
        <v>16</v>
      </c>
      <c r="AA20" s="28" t="s">
        <v>21</v>
      </c>
      <c r="AB20" s="28" t="s">
        <v>22</v>
      </c>
    </row>
    <row r="21" spans="2:29" x14ac:dyDescent="0.3">
      <c r="B21" s="2" t="s">
        <v>4</v>
      </c>
      <c r="C21" s="3">
        <v>1</v>
      </c>
      <c r="D21" s="17">
        <v>3.6131249999999988</v>
      </c>
      <c r="E21" s="17">
        <v>5.6</v>
      </c>
      <c r="F21" s="17">
        <v>-1.9868749999999999</v>
      </c>
      <c r="G21" s="17">
        <v>1.9868749999999999</v>
      </c>
      <c r="H21" s="18">
        <v>35.479910714285722</v>
      </c>
      <c r="L21" s="2" t="s">
        <v>4</v>
      </c>
      <c r="M21" s="3">
        <v>1</v>
      </c>
      <c r="N21" s="4">
        <v>1.083628327454438</v>
      </c>
      <c r="O21" s="4">
        <v>0.93700000000000006</v>
      </c>
      <c r="P21" s="4">
        <v>0.14662832745443799</v>
      </c>
      <c r="Q21" s="4">
        <v>0.14662832745443799</v>
      </c>
      <c r="R21" s="18">
        <v>15.64870090228794</v>
      </c>
      <c r="V21" s="2" t="s">
        <v>4</v>
      </c>
      <c r="W21" s="3">
        <v>1</v>
      </c>
      <c r="X21" s="17">
        <v>80.887171052631587</v>
      </c>
      <c r="Y21" s="3">
        <v>86.8</v>
      </c>
      <c r="Z21" s="17">
        <v>-5.9128289473684106</v>
      </c>
      <c r="AA21" s="17">
        <v>5.9128289473684106</v>
      </c>
      <c r="AB21" s="18">
        <v>6.8120149163230526</v>
      </c>
    </row>
    <row r="22" spans="2:29" x14ac:dyDescent="0.3">
      <c r="B22" s="5" t="s">
        <v>4</v>
      </c>
      <c r="C22" s="6">
        <v>2</v>
      </c>
      <c r="D22" s="19">
        <v>3.7007000000000021</v>
      </c>
      <c r="E22" s="19">
        <v>5.47</v>
      </c>
      <c r="F22" s="19">
        <v>-1.7692999999999981</v>
      </c>
      <c r="G22" s="19">
        <v>1.7692999999999981</v>
      </c>
      <c r="H22" s="20">
        <v>32.345521023765947</v>
      </c>
      <c r="L22" s="5" t="s">
        <v>4</v>
      </c>
      <c r="M22" s="6">
        <v>2</v>
      </c>
      <c r="N22" s="7">
        <v>0.89225438271604585</v>
      </c>
      <c r="O22" s="7">
        <v>0.88400000000000001</v>
      </c>
      <c r="P22" s="7">
        <v>8.2543827160458383E-3</v>
      </c>
      <c r="Q22" s="7">
        <v>8.2543827160458383E-3</v>
      </c>
      <c r="R22" s="20">
        <v>0.93375370091016274</v>
      </c>
      <c r="V22" s="5" t="s">
        <v>4</v>
      </c>
      <c r="W22" s="6">
        <v>2</v>
      </c>
      <c r="X22" s="19">
        <v>105.1333881578946</v>
      </c>
      <c r="Y22" s="6">
        <v>106.9</v>
      </c>
      <c r="Z22" s="19">
        <v>-1.766611842105362</v>
      </c>
      <c r="AA22" s="19">
        <v>1.766611842105362</v>
      </c>
      <c r="AB22" s="20">
        <v>1.6525835754025839</v>
      </c>
    </row>
    <row r="23" spans="2:29" x14ac:dyDescent="0.3">
      <c r="B23" s="8" t="s">
        <v>4</v>
      </c>
      <c r="C23" s="9">
        <v>3</v>
      </c>
      <c r="D23" s="21">
        <v>13.544350000000019</v>
      </c>
      <c r="E23" s="21">
        <v>26.16</v>
      </c>
      <c r="F23" s="21">
        <v>-12.615649999999979</v>
      </c>
      <c r="G23" s="21">
        <v>12.615649999999979</v>
      </c>
      <c r="H23" s="22">
        <v>48.224961773700223</v>
      </c>
      <c r="L23" s="8" t="s">
        <v>4</v>
      </c>
      <c r="M23" s="9">
        <v>3</v>
      </c>
      <c r="N23" s="10">
        <v>0.65711975308641901</v>
      </c>
      <c r="O23" s="10">
        <v>0.60699999999999998</v>
      </c>
      <c r="P23" s="10">
        <v>5.0119753086419028E-2</v>
      </c>
      <c r="Q23" s="10">
        <v>5.0119753086419028E-2</v>
      </c>
      <c r="R23" s="22">
        <v>8.2569609697560171</v>
      </c>
      <c r="V23" s="8" t="s">
        <v>4</v>
      </c>
      <c r="W23" s="9">
        <v>3</v>
      </c>
      <c r="X23" s="21">
        <v>134.50394736842071</v>
      </c>
      <c r="Y23" s="9">
        <v>146.1</v>
      </c>
      <c r="Z23" s="21">
        <v>-11.59605263157931</v>
      </c>
      <c r="AA23" s="21">
        <v>11.59605263157931</v>
      </c>
      <c r="AB23" s="22">
        <v>7.937065456248674</v>
      </c>
    </row>
    <row r="24" spans="2:29" x14ac:dyDescent="0.3">
      <c r="B24" s="11" t="s">
        <v>4</v>
      </c>
      <c r="C24" s="12">
        <v>4</v>
      </c>
      <c r="D24" s="23">
        <v>17.406100000000031</v>
      </c>
      <c r="E24" s="23">
        <v>47.29</v>
      </c>
      <c r="F24" s="23">
        <v>-29.883899999999969</v>
      </c>
      <c r="G24" s="23">
        <v>29.883899999999969</v>
      </c>
      <c r="H24" s="24">
        <v>63.19285261154571</v>
      </c>
      <c r="I24" s="32" t="s">
        <v>17</v>
      </c>
      <c r="L24" s="11" t="s">
        <v>4</v>
      </c>
      <c r="M24" s="12">
        <v>4</v>
      </c>
      <c r="N24" s="13">
        <v>0.8139932716049405</v>
      </c>
      <c r="O24" s="13">
        <v>0.79400000000000004</v>
      </c>
      <c r="P24" s="13">
        <v>1.9993271604940469E-2</v>
      </c>
      <c r="Q24" s="13">
        <v>1.9993271604940469E-2</v>
      </c>
      <c r="R24" s="24">
        <v>2.518044282738094</v>
      </c>
      <c r="S24" s="32" t="s">
        <v>17</v>
      </c>
      <c r="V24" s="11" t="s">
        <v>4</v>
      </c>
      <c r="W24" s="12">
        <v>4</v>
      </c>
      <c r="X24" s="23">
        <v>105.9513157894734</v>
      </c>
      <c r="Y24" s="12">
        <v>122.8</v>
      </c>
      <c r="Z24" s="23">
        <v>-16.84868421052656</v>
      </c>
      <c r="AA24" s="23">
        <v>16.84868421052656</v>
      </c>
      <c r="AB24" s="24">
        <v>13.720426881536291</v>
      </c>
      <c r="AC24" s="32" t="s">
        <v>17</v>
      </c>
    </row>
    <row r="25" spans="2:29" x14ac:dyDescent="0.3">
      <c r="B25" s="14" t="s">
        <v>4</v>
      </c>
      <c r="C25" s="15">
        <v>5</v>
      </c>
      <c r="D25" s="25">
        <v>11.793575000000031</v>
      </c>
      <c r="E25" s="25">
        <v>26.24</v>
      </c>
      <c r="F25" s="25">
        <v>-14.446424999999969</v>
      </c>
      <c r="G25" s="25">
        <v>14.446424999999969</v>
      </c>
      <c r="H25" s="26">
        <v>55.054973323170628</v>
      </c>
      <c r="I25" s="33">
        <f>AVERAGE(H21:H25)</f>
        <v>46.859643889293643</v>
      </c>
      <c r="L25" s="14" t="s">
        <v>4</v>
      </c>
      <c r="M25" s="15">
        <v>5</v>
      </c>
      <c r="N25" s="16">
        <v>1.691573086419754</v>
      </c>
      <c r="O25" s="16">
        <v>1.5740000000000001</v>
      </c>
      <c r="P25" s="16">
        <v>0.11757308641975391</v>
      </c>
      <c r="Q25" s="16">
        <v>0.11757308641975391</v>
      </c>
      <c r="R25" s="26">
        <v>7.4697005349271883</v>
      </c>
      <c r="S25" s="33">
        <f>AVERAGE(R21:R25)</f>
        <v>6.9654320781238797</v>
      </c>
      <c r="V25" s="14" t="s">
        <v>4</v>
      </c>
      <c r="W25" s="15">
        <v>5</v>
      </c>
      <c r="X25" s="25">
        <v>93.551151315789667</v>
      </c>
      <c r="Y25" s="15">
        <v>101.2</v>
      </c>
      <c r="Z25" s="25">
        <v>-7.6488486842103356</v>
      </c>
      <c r="AA25" s="25">
        <v>7.6488486842103356</v>
      </c>
      <c r="AB25" s="26">
        <v>7.5581508737256282</v>
      </c>
      <c r="AC25" s="33">
        <f>AVERAGE(AB21:AB25)</f>
        <v>7.5360483406472456</v>
      </c>
    </row>
    <row r="26" spans="2:29" x14ac:dyDescent="0.3">
      <c r="B26" s="2" t="s">
        <v>5</v>
      </c>
      <c r="C26" s="3">
        <v>1</v>
      </c>
      <c r="D26" s="17">
        <v>3.931233167648315</v>
      </c>
      <c r="E26" s="17">
        <v>5.6</v>
      </c>
      <c r="F26" s="17">
        <v>-1.668766832351684</v>
      </c>
      <c r="G26" s="17">
        <v>1.668766832351684</v>
      </c>
      <c r="H26" s="18">
        <v>29.799407720565789</v>
      </c>
      <c r="L26" s="2" t="s">
        <v>5</v>
      </c>
      <c r="M26" s="3">
        <v>1</v>
      </c>
      <c r="N26" s="4">
        <v>1.0792661905288701</v>
      </c>
      <c r="O26" s="4">
        <v>0.93700000000000006</v>
      </c>
      <c r="P26" s="4">
        <v>0.1422661905288696</v>
      </c>
      <c r="Q26" s="4">
        <v>0.1422661905288696</v>
      </c>
      <c r="R26" s="18">
        <v>15.183158007350009</v>
      </c>
      <c r="V26" s="2" t="s">
        <v>5</v>
      </c>
      <c r="W26" s="3">
        <v>1</v>
      </c>
      <c r="X26" s="17">
        <v>80.835586547851563</v>
      </c>
      <c r="Y26" s="3">
        <v>86.8</v>
      </c>
      <c r="Z26" s="17">
        <v>-5.9644134521484347</v>
      </c>
      <c r="AA26" s="17">
        <v>5.9644134521484347</v>
      </c>
      <c r="AB26" s="18">
        <v>6.8714440692954328</v>
      </c>
    </row>
    <row r="27" spans="2:29" x14ac:dyDescent="0.3">
      <c r="B27" s="5" t="s">
        <v>5</v>
      </c>
      <c r="C27" s="6">
        <v>2</v>
      </c>
      <c r="D27" s="19">
        <v>4.0721087455749512</v>
      </c>
      <c r="E27" s="19">
        <v>5.47</v>
      </c>
      <c r="F27" s="19">
        <v>-1.397891254425049</v>
      </c>
      <c r="G27" s="19">
        <v>1.397891254425049</v>
      </c>
      <c r="H27" s="20">
        <v>25.555598801189191</v>
      </c>
      <c r="L27" s="5" t="s">
        <v>5</v>
      </c>
      <c r="M27" s="6">
        <v>2</v>
      </c>
      <c r="N27" s="7">
        <v>0.90371578931808472</v>
      </c>
      <c r="O27" s="7">
        <v>0.88400000000000001</v>
      </c>
      <c r="P27" s="7">
        <v>1.9715789318084709E-2</v>
      </c>
      <c r="Q27" s="7">
        <v>1.9715789318084709E-2</v>
      </c>
      <c r="R27" s="20">
        <v>2.230292909285601</v>
      </c>
      <c r="V27" s="5" t="s">
        <v>5</v>
      </c>
      <c r="W27" s="6">
        <v>2</v>
      </c>
      <c r="X27" s="19">
        <v>106.506706237793</v>
      </c>
      <c r="Y27" s="6">
        <v>106.9</v>
      </c>
      <c r="Z27" s="19">
        <v>-0.39329376220703688</v>
      </c>
      <c r="AA27" s="19">
        <v>0.39329376220703688</v>
      </c>
      <c r="AB27" s="20">
        <v>0.36790810309357991</v>
      </c>
    </row>
    <row r="28" spans="2:29" x14ac:dyDescent="0.3">
      <c r="B28" s="8" t="s">
        <v>5</v>
      </c>
      <c r="C28" s="9">
        <v>3</v>
      </c>
      <c r="D28" s="21">
        <v>16.629522323608398</v>
      </c>
      <c r="E28" s="21">
        <v>26.16</v>
      </c>
      <c r="F28" s="21">
        <v>-9.5304776763916017</v>
      </c>
      <c r="G28" s="21">
        <v>9.5304776763916017</v>
      </c>
      <c r="H28" s="22">
        <v>36.431489588652909</v>
      </c>
      <c r="L28" s="8" t="s">
        <v>5</v>
      </c>
      <c r="M28" s="9">
        <v>3</v>
      </c>
      <c r="N28" s="10">
        <v>0.54778569936752319</v>
      </c>
      <c r="O28" s="10">
        <v>0.60699999999999998</v>
      </c>
      <c r="P28" s="10">
        <v>-5.9214300632476791E-2</v>
      </c>
      <c r="Q28" s="10">
        <v>5.9214300632476791E-2</v>
      </c>
      <c r="R28" s="22">
        <v>9.7552389839335731</v>
      </c>
      <c r="V28" s="8" t="s">
        <v>5</v>
      </c>
      <c r="W28" s="9">
        <v>3</v>
      </c>
      <c r="X28" s="21">
        <v>139.07914733886719</v>
      </c>
      <c r="Y28" s="9">
        <v>146.1</v>
      </c>
      <c r="Z28" s="21">
        <v>-7.0208526611328068</v>
      </c>
      <c r="AA28" s="21">
        <v>7.0208526611328068</v>
      </c>
      <c r="AB28" s="22">
        <v>4.8055117461552408</v>
      </c>
    </row>
    <row r="29" spans="2:29" x14ac:dyDescent="0.3">
      <c r="B29" s="11" t="s">
        <v>5</v>
      </c>
      <c r="C29" s="12">
        <v>4</v>
      </c>
      <c r="D29" s="23">
        <v>23.57191276550293</v>
      </c>
      <c r="E29" s="23">
        <v>47.29</v>
      </c>
      <c r="F29" s="23">
        <v>-23.718087234497069</v>
      </c>
      <c r="G29" s="23">
        <v>23.718087234497069</v>
      </c>
      <c r="H29" s="24">
        <v>50.15455114082696</v>
      </c>
      <c r="I29" s="32" t="s">
        <v>17</v>
      </c>
      <c r="L29" s="11" t="s">
        <v>5</v>
      </c>
      <c r="M29" s="12">
        <v>4</v>
      </c>
      <c r="N29" s="13">
        <v>0.81157451868057251</v>
      </c>
      <c r="O29" s="13">
        <v>0.79400000000000004</v>
      </c>
      <c r="P29" s="13">
        <v>1.7574518680572471E-2</v>
      </c>
      <c r="Q29" s="13">
        <v>1.7574518680572471E-2</v>
      </c>
      <c r="R29" s="24">
        <v>2.2134154509537121</v>
      </c>
      <c r="S29" s="32" t="s">
        <v>17</v>
      </c>
      <c r="V29" s="11" t="s">
        <v>5</v>
      </c>
      <c r="W29" s="12">
        <v>4</v>
      </c>
      <c r="X29" s="23">
        <v>115.0807571411133</v>
      </c>
      <c r="Y29" s="12">
        <v>122.8</v>
      </c>
      <c r="Z29" s="23">
        <v>-7.7192428588867159</v>
      </c>
      <c r="AA29" s="23">
        <v>7.7192428588867159</v>
      </c>
      <c r="AB29" s="24">
        <v>6.2860283867155671</v>
      </c>
      <c r="AC29" s="32" t="s">
        <v>17</v>
      </c>
    </row>
    <row r="30" spans="2:29" x14ac:dyDescent="0.3">
      <c r="B30" s="14" t="s">
        <v>5</v>
      </c>
      <c r="C30" s="15">
        <v>5</v>
      </c>
      <c r="D30" s="25">
        <v>11.19066715240479</v>
      </c>
      <c r="E30" s="25">
        <v>26.24</v>
      </c>
      <c r="F30" s="25">
        <v>-15.04933284759521</v>
      </c>
      <c r="G30" s="25">
        <v>15.04933284759521</v>
      </c>
      <c r="H30" s="26">
        <v>57.352640425286637</v>
      </c>
      <c r="I30" s="33">
        <f>AVERAGE(H26:H30)</f>
        <v>39.858737535304293</v>
      </c>
      <c r="L30" s="14" t="s">
        <v>5</v>
      </c>
      <c r="M30" s="15">
        <v>5</v>
      </c>
      <c r="N30" s="16">
        <v>1.6652126312255859</v>
      </c>
      <c r="O30" s="16">
        <v>1.5740000000000001</v>
      </c>
      <c r="P30" s="16">
        <v>9.1212631225585872E-2</v>
      </c>
      <c r="Q30" s="16">
        <v>9.1212631225585872E-2</v>
      </c>
      <c r="R30" s="26">
        <v>5.7949575111553928</v>
      </c>
      <c r="S30" s="33">
        <f>AVERAGE(R26:R30)</f>
        <v>7.035412572535658</v>
      </c>
      <c r="V30" s="14" t="s">
        <v>5</v>
      </c>
      <c r="W30" s="15">
        <v>5</v>
      </c>
      <c r="X30" s="25">
        <v>93.696861267089844</v>
      </c>
      <c r="Y30" s="15">
        <v>101.2</v>
      </c>
      <c r="Z30" s="25">
        <v>-7.5031387329101591</v>
      </c>
      <c r="AA30" s="25">
        <v>7.5031387329101591</v>
      </c>
      <c r="AB30" s="26">
        <v>7.4141687084092469</v>
      </c>
      <c r="AC30" s="33">
        <f>AVERAGE(AB26:AB30)</f>
        <v>5.1490122027338128</v>
      </c>
    </row>
    <row r="34" spans="2:29" ht="17.399999999999999" x14ac:dyDescent="0.45">
      <c r="D34" s="29" t="s">
        <v>13</v>
      </c>
      <c r="E34" s="30"/>
      <c r="F34" s="30"/>
      <c r="G34" s="31"/>
      <c r="N34" s="29" t="s">
        <v>14</v>
      </c>
      <c r="O34" s="30"/>
      <c r="P34" s="30"/>
      <c r="Q34" s="31"/>
      <c r="X34" s="29" t="s">
        <v>15</v>
      </c>
      <c r="Y34" s="30"/>
      <c r="Z34" s="30"/>
      <c r="AA34" s="31"/>
    </row>
    <row r="35" spans="2:29" x14ac:dyDescent="0.3">
      <c r="B35" s="28" t="s">
        <v>0</v>
      </c>
      <c r="C35" s="28" t="s">
        <v>1</v>
      </c>
      <c r="D35" s="28" t="s">
        <v>2</v>
      </c>
      <c r="E35" s="28" t="s">
        <v>3</v>
      </c>
      <c r="F35" s="28" t="s">
        <v>16</v>
      </c>
      <c r="G35" s="28" t="s">
        <v>21</v>
      </c>
      <c r="H35" s="28" t="s">
        <v>22</v>
      </c>
      <c r="L35" s="28" t="s">
        <v>0</v>
      </c>
      <c r="M35" s="28" t="s">
        <v>1</v>
      </c>
      <c r="N35" s="28" t="s">
        <v>6</v>
      </c>
      <c r="O35" s="28" t="s">
        <v>7</v>
      </c>
      <c r="P35" s="28" t="s">
        <v>16</v>
      </c>
      <c r="Q35" s="28" t="s">
        <v>21</v>
      </c>
      <c r="R35" s="28" t="s">
        <v>22</v>
      </c>
      <c r="V35" s="28" t="s">
        <v>0</v>
      </c>
      <c r="W35" s="28" t="s">
        <v>1</v>
      </c>
      <c r="X35" s="28" t="s">
        <v>8</v>
      </c>
      <c r="Y35" s="28" t="s">
        <v>9</v>
      </c>
      <c r="Z35" s="28" t="s">
        <v>16</v>
      </c>
      <c r="AA35" s="28" t="s">
        <v>21</v>
      </c>
      <c r="AB35" s="28" t="s">
        <v>22</v>
      </c>
    </row>
    <row r="36" spans="2:29" x14ac:dyDescent="0.3">
      <c r="B36" s="2" t="s">
        <v>4</v>
      </c>
      <c r="C36" s="3">
        <v>1</v>
      </c>
      <c r="D36" s="17">
        <v>3.8371499999999998</v>
      </c>
      <c r="E36" s="17">
        <v>5.6</v>
      </c>
      <c r="F36" s="17">
        <v>-1.76285</v>
      </c>
      <c r="G36" s="17">
        <v>1.76285</v>
      </c>
      <c r="H36" s="18">
        <v>31.4794642857143</v>
      </c>
      <c r="L36" s="2" t="s">
        <v>4</v>
      </c>
      <c r="M36" s="3">
        <v>1</v>
      </c>
      <c r="N36" s="4">
        <v>1.0832079761904769</v>
      </c>
      <c r="O36" s="4">
        <v>0.93700000000000006</v>
      </c>
      <c r="P36" s="4">
        <v>0.1462079761904769</v>
      </c>
      <c r="Q36" s="4">
        <v>0.1462079761904769</v>
      </c>
      <c r="R36" s="18">
        <v>15.60383950805516</v>
      </c>
      <c r="V36" s="2" t="s">
        <v>4</v>
      </c>
      <c r="W36" s="3">
        <v>1</v>
      </c>
      <c r="X36" s="17">
        <v>80.68009868421052</v>
      </c>
      <c r="Y36" s="3">
        <v>86.8</v>
      </c>
      <c r="Z36" s="17">
        <v>-6.1199013157894768</v>
      </c>
      <c r="AA36" s="17">
        <v>6.1199013157894768</v>
      </c>
      <c r="AB36" s="18">
        <v>7.0505775527528547</v>
      </c>
    </row>
    <row r="37" spans="2:29" x14ac:dyDescent="0.3">
      <c r="B37" s="5" t="s">
        <v>4</v>
      </c>
      <c r="C37" s="6">
        <v>2</v>
      </c>
      <c r="D37" s="19">
        <v>3.3949250000000029</v>
      </c>
      <c r="E37" s="19">
        <v>5.47</v>
      </c>
      <c r="F37" s="19">
        <v>-2.0750749999999969</v>
      </c>
      <c r="G37" s="19">
        <v>2.0750749999999969</v>
      </c>
      <c r="H37" s="20">
        <v>37.935557586837227</v>
      </c>
      <c r="L37" s="5" t="s">
        <v>4</v>
      </c>
      <c r="M37" s="6">
        <v>2</v>
      </c>
      <c r="N37" s="7">
        <v>0.89449436948853378</v>
      </c>
      <c r="O37" s="7">
        <v>0.88400000000000001</v>
      </c>
      <c r="P37" s="7">
        <v>1.0494369488533771E-2</v>
      </c>
      <c r="Q37" s="7">
        <v>1.0494369488533771E-2</v>
      </c>
      <c r="R37" s="20">
        <v>1.187145869743639</v>
      </c>
      <c r="V37" s="5" t="s">
        <v>4</v>
      </c>
      <c r="W37" s="6">
        <v>2</v>
      </c>
      <c r="X37" s="19">
        <v>104.5381578947368</v>
      </c>
      <c r="Y37" s="6">
        <v>106.9</v>
      </c>
      <c r="Z37" s="19">
        <v>-2.3618421052632361</v>
      </c>
      <c r="AA37" s="19">
        <v>2.3618421052632361</v>
      </c>
      <c r="AB37" s="20">
        <v>2.209393924474496</v>
      </c>
    </row>
    <row r="38" spans="2:29" x14ac:dyDescent="0.3">
      <c r="B38" s="8" t="s">
        <v>4</v>
      </c>
      <c r="C38" s="9">
        <v>3</v>
      </c>
      <c r="D38" s="21">
        <v>14.86860000000002</v>
      </c>
      <c r="E38" s="21">
        <v>26.16</v>
      </c>
      <c r="F38" s="21">
        <v>-11.29139999999998</v>
      </c>
      <c r="G38" s="21">
        <v>11.29139999999998</v>
      </c>
      <c r="H38" s="22">
        <v>43.162844036697159</v>
      </c>
      <c r="L38" s="8" t="s">
        <v>4</v>
      </c>
      <c r="M38" s="9">
        <v>3</v>
      </c>
      <c r="N38" s="10">
        <v>0.6568846913580243</v>
      </c>
      <c r="O38" s="10">
        <v>0.60699999999999998</v>
      </c>
      <c r="P38" s="10">
        <v>4.9884691358024313E-2</v>
      </c>
      <c r="Q38" s="10">
        <v>4.9884691358024313E-2</v>
      </c>
      <c r="R38" s="22">
        <v>8.2182358085707268</v>
      </c>
      <c r="V38" s="8" t="s">
        <v>4</v>
      </c>
      <c r="W38" s="9">
        <v>3</v>
      </c>
      <c r="X38" s="21">
        <v>138.50624999999951</v>
      </c>
      <c r="Y38" s="9">
        <v>146.1</v>
      </c>
      <c r="Z38" s="21">
        <v>-7.5937500000004547</v>
      </c>
      <c r="AA38" s="21">
        <v>7.5937500000004547</v>
      </c>
      <c r="AB38" s="22">
        <v>5.1976386036964097</v>
      </c>
    </row>
    <row r="39" spans="2:29" x14ac:dyDescent="0.3">
      <c r="B39" s="11" t="s">
        <v>4</v>
      </c>
      <c r="C39" s="12">
        <v>4</v>
      </c>
      <c r="D39" s="23">
        <v>36.657724999999957</v>
      </c>
      <c r="E39" s="23">
        <v>47.29</v>
      </c>
      <c r="F39" s="23">
        <v>-10.632275000000041</v>
      </c>
      <c r="G39" s="23">
        <v>10.632275000000041</v>
      </c>
      <c r="H39" s="24">
        <v>22.483135969549661</v>
      </c>
      <c r="I39" s="32" t="s">
        <v>17</v>
      </c>
      <c r="L39" s="11" t="s">
        <v>4</v>
      </c>
      <c r="M39" s="12">
        <v>4</v>
      </c>
      <c r="N39" s="13">
        <v>0.7486531657848341</v>
      </c>
      <c r="O39" s="13">
        <v>0.79400000000000004</v>
      </c>
      <c r="P39" s="13">
        <v>-4.5346834215165943E-2</v>
      </c>
      <c r="Q39" s="13">
        <v>4.5346834215165943E-2</v>
      </c>
      <c r="R39" s="24">
        <v>5.7111881883080526</v>
      </c>
      <c r="S39" s="32" t="s">
        <v>17</v>
      </c>
      <c r="V39" s="11" t="s">
        <v>4</v>
      </c>
      <c r="W39" s="12">
        <v>4</v>
      </c>
      <c r="X39" s="23">
        <v>99.757072368420978</v>
      </c>
      <c r="Y39" s="12">
        <v>122.8</v>
      </c>
      <c r="Z39" s="23">
        <v>-23.042927631579019</v>
      </c>
      <c r="AA39" s="23">
        <v>23.042927631579019</v>
      </c>
      <c r="AB39" s="24">
        <v>18.76459904851712</v>
      </c>
      <c r="AC39" s="32" t="s">
        <v>17</v>
      </c>
    </row>
    <row r="40" spans="2:29" x14ac:dyDescent="0.3">
      <c r="B40" s="14" t="s">
        <v>4</v>
      </c>
      <c r="C40" s="15">
        <v>5</v>
      </c>
      <c r="D40" s="25">
        <v>11.89877500000004</v>
      </c>
      <c r="E40" s="25">
        <v>26.24</v>
      </c>
      <c r="F40" s="25">
        <v>-14.341224999999961</v>
      </c>
      <c r="G40" s="25">
        <v>14.341224999999961</v>
      </c>
      <c r="H40" s="26">
        <v>54.654058689024247</v>
      </c>
      <c r="I40" s="33">
        <f>AVERAGE(H36:H40)</f>
        <v>37.943012113564521</v>
      </c>
      <c r="L40" s="14" t="s">
        <v>4</v>
      </c>
      <c r="M40" s="15">
        <v>5</v>
      </c>
      <c r="N40" s="16">
        <v>1.6782232098765431</v>
      </c>
      <c r="O40" s="16">
        <v>1.5740000000000001</v>
      </c>
      <c r="P40" s="16">
        <v>0.1042232098765432</v>
      </c>
      <c r="Q40" s="16">
        <v>0.1042232098765432</v>
      </c>
      <c r="R40" s="26">
        <v>6.6215508180777123</v>
      </c>
      <c r="S40" s="33">
        <f>AVERAGE(R36:R40)</f>
        <v>7.4683920385510572</v>
      </c>
      <c r="V40" s="14" t="s">
        <v>4</v>
      </c>
      <c r="W40" s="15">
        <v>5</v>
      </c>
      <c r="X40" s="25">
        <v>93.90476973684224</v>
      </c>
      <c r="Y40" s="15">
        <v>101.2</v>
      </c>
      <c r="Z40" s="25">
        <v>-7.2952302631577624</v>
      </c>
      <c r="AA40" s="25">
        <v>7.2952302631577624</v>
      </c>
      <c r="AB40" s="26">
        <v>7.2087255564800019</v>
      </c>
      <c r="AC40" s="33">
        <f>AVERAGE(AB36:AB40)</f>
        <v>8.086186937184177</v>
      </c>
    </row>
    <row r="41" spans="2:29" x14ac:dyDescent="0.3">
      <c r="B41" s="2" t="s">
        <v>5</v>
      </c>
      <c r="C41" s="3">
        <v>1</v>
      </c>
      <c r="D41" s="17">
        <v>4.3981719017028809</v>
      </c>
      <c r="E41" s="17">
        <v>5.6</v>
      </c>
      <c r="F41" s="17">
        <v>-1.201828098297119</v>
      </c>
      <c r="G41" s="17">
        <v>1.201828098297119</v>
      </c>
      <c r="H41" s="18">
        <v>21.461216041019981</v>
      </c>
      <c r="L41" s="2" t="s">
        <v>5</v>
      </c>
      <c r="M41" s="3">
        <v>1</v>
      </c>
      <c r="N41" s="4">
        <v>1.109668612480164</v>
      </c>
      <c r="O41" s="4">
        <v>0.93700000000000006</v>
      </c>
      <c r="P41" s="4">
        <v>0.17266861248016349</v>
      </c>
      <c r="Q41" s="4">
        <v>0.17266861248016349</v>
      </c>
      <c r="R41" s="18">
        <v>18.42781349841659</v>
      </c>
      <c r="V41" s="2" t="s">
        <v>5</v>
      </c>
      <c r="W41" s="3">
        <v>1</v>
      </c>
      <c r="X41" s="17">
        <v>78.849533081054688</v>
      </c>
      <c r="Y41" s="3">
        <v>86.8</v>
      </c>
      <c r="Z41" s="17">
        <v>-7.9504669189453097</v>
      </c>
      <c r="AA41" s="17">
        <v>7.9504669189453097</v>
      </c>
      <c r="AB41" s="18">
        <v>9.1595241001674079</v>
      </c>
    </row>
    <row r="42" spans="2:29" x14ac:dyDescent="0.3">
      <c r="B42" s="5" t="s">
        <v>5</v>
      </c>
      <c r="C42" s="6">
        <v>2</v>
      </c>
      <c r="D42" s="19">
        <v>3.1921343803405762</v>
      </c>
      <c r="E42" s="19">
        <v>5.47</v>
      </c>
      <c r="F42" s="19">
        <v>-2.277865619659424</v>
      </c>
      <c r="G42" s="19">
        <v>2.277865619659424</v>
      </c>
      <c r="H42" s="20">
        <v>41.642881529422738</v>
      </c>
      <c r="L42" s="5" t="s">
        <v>5</v>
      </c>
      <c r="M42" s="6">
        <v>2</v>
      </c>
      <c r="N42" s="7">
        <v>0.9327695369720459</v>
      </c>
      <c r="O42" s="7">
        <v>0.88400000000000001</v>
      </c>
      <c r="P42" s="7">
        <v>4.876953697204589E-2</v>
      </c>
      <c r="Q42" s="7">
        <v>4.876953697204589E-2</v>
      </c>
      <c r="R42" s="20">
        <v>5.5169159470640148</v>
      </c>
      <c r="V42" s="5" t="s">
        <v>5</v>
      </c>
      <c r="W42" s="6">
        <v>2</v>
      </c>
      <c r="X42" s="19">
        <v>105.6653747558594</v>
      </c>
      <c r="Y42" s="6">
        <v>106.9</v>
      </c>
      <c r="Z42" s="19">
        <v>-1.2346252441406309</v>
      </c>
      <c r="AA42" s="19">
        <v>1.2346252441406309</v>
      </c>
      <c r="AB42" s="20">
        <v>1.154934746623602</v>
      </c>
    </row>
    <row r="43" spans="2:29" x14ac:dyDescent="0.3">
      <c r="B43" s="8" t="s">
        <v>5</v>
      </c>
      <c r="C43" s="9">
        <v>3</v>
      </c>
      <c r="D43" s="21">
        <v>19.526510238647461</v>
      </c>
      <c r="E43" s="21">
        <v>26.16</v>
      </c>
      <c r="F43" s="21">
        <v>-6.6334897613525392</v>
      </c>
      <c r="G43" s="21">
        <v>6.6334897613525392</v>
      </c>
      <c r="H43" s="22">
        <v>25.357376763580039</v>
      </c>
      <c r="L43" s="8" t="s">
        <v>5</v>
      </c>
      <c r="M43" s="9">
        <v>3</v>
      </c>
      <c r="N43" s="10">
        <v>0.61175382137298584</v>
      </c>
      <c r="O43" s="10">
        <v>0.60699999999999998</v>
      </c>
      <c r="P43" s="10">
        <v>4.7538213729858558E-3</v>
      </c>
      <c r="Q43" s="10">
        <v>4.7538213729858558E-3</v>
      </c>
      <c r="R43" s="22">
        <v>0.78316661828432554</v>
      </c>
      <c r="V43" s="8" t="s">
        <v>5</v>
      </c>
      <c r="W43" s="9">
        <v>3</v>
      </c>
      <c r="X43" s="21">
        <v>142.3410339355469</v>
      </c>
      <c r="Y43" s="9">
        <v>146.1</v>
      </c>
      <c r="Z43" s="21">
        <v>-3.7589660644531189</v>
      </c>
      <c r="AA43" s="21">
        <v>3.7589660644531189</v>
      </c>
      <c r="AB43" s="22">
        <v>2.572872049591457</v>
      </c>
    </row>
    <row r="44" spans="2:29" x14ac:dyDescent="0.3">
      <c r="B44" s="11" t="s">
        <v>5</v>
      </c>
      <c r="C44" s="12">
        <v>4</v>
      </c>
      <c r="D44" s="23">
        <v>39.949951171875</v>
      </c>
      <c r="E44" s="23">
        <v>47.29</v>
      </c>
      <c r="F44" s="23">
        <v>-7.3400488281249991</v>
      </c>
      <c r="G44" s="23">
        <v>7.3400488281249991</v>
      </c>
      <c r="H44" s="24">
        <v>15.52135510282301</v>
      </c>
      <c r="I44" s="32" t="s">
        <v>17</v>
      </c>
      <c r="L44" s="11" t="s">
        <v>5</v>
      </c>
      <c r="M44" s="12">
        <v>4</v>
      </c>
      <c r="N44" s="13">
        <v>0.73988860845565796</v>
      </c>
      <c r="O44" s="13">
        <v>0.79400000000000004</v>
      </c>
      <c r="P44" s="13">
        <v>-5.411139154434208E-2</v>
      </c>
      <c r="Q44" s="13">
        <v>5.411139154434208E-2</v>
      </c>
      <c r="R44" s="24">
        <v>6.8150367184309921</v>
      </c>
      <c r="S44" s="32" t="s">
        <v>17</v>
      </c>
      <c r="V44" s="11" t="s">
        <v>5</v>
      </c>
      <c r="W44" s="12">
        <v>4</v>
      </c>
      <c r="X44" s="23">
        <v>111.6286544799805</v>
      </c>
      <c r="Y44" s="12">
        <v>122.8</v>
      </c>
      <c r="Z44" s="23">
        <v>-11.17134552001953</v>
      </c>
      <c r="AA44" s="23">
        <v>11.17134552001953</v>
      </c>
      <c r="AB44" s="24">
        <v>9.0971869055533627</v>
      </c>
      <c r="AC44" s="32" t="s">
        <v>17</v>
      </c>
    </row>
    <row r="45" spans="2:29" x14ac:dyDescent="0.3">
      <c r="B45" s="14" t="s">
        <v>5</v>
      </c>
      <c r="C45" s="15">
        <v>5</v>
      </c>
      <c r="D45" s="25">
        <v>10.19211483001709</v>
      </c>
      <c r="E45" s="25">
        <v>26.24</v>
      </c>
      <c r="F45" s="25">
        <v>-16.047885169982909</v>
      </c>
      <c r="G45" s="25">
        <v>16.047885169982909</v>
      </c>
      <c r="H45" s="26">
        <v>61.158098970971452</v>
      </c>
      <c r="I45" s="33">
        <f>AVERAGE(H41:H45)</f>
        <v>33.028185681563443</v>
      </c>
      <c r="L45" s="14" t="s">
        <v>5</v>
      </c>
      <c r="M45" s="15">
        <v>5</v>
      </c>
      <c r="N45" s="16">
        <v>1.6732498407363889</v>
      </c>
      <c r="O45" s="16">
        <v>1.5740000000000001</v>
      </c>
      <c r="P45" s="16">
        <v>9.9249840736389094E-2</v>
      </c>
      <c r="Q45" s="16">
        <v>9.9249840736389094E-2</v>
      </c>
      <c r="R45" s="26">
        <v>6.3055807329345042</v>
      </c>
      <c r="S45" s="33">
        <f>AVERAGE(R41:R45)</f>
        <v>7.5697027030260857</v>
      </c>
      <c r="V45" s="14" t="s">
        <v>5</v>
      </c>
      <c r="W45" s="15">
        <v>5</v>
      </c>
      <c r="X45" s="25">
        <v>93.882156372070313</v>
      </c>
      <c r="Y45" s="15">
        <v>101.2</v>
      </c>
      <c r="Z45" s="25">
        <v>-7.3178436279296903</v>
      </c>
      <c r="AA45" s="25">
        <v>7.3178436279296903</v>
      </c>
      <c r="AB45" s="26">
        <v>7.2310707785866501</v>
      </c>
      <c r="AC45" s="33">
        <f>AVERAGE(AB41:AB45)</f>
        <v>5.843117716104496</v>
      </c>
    </row>
  </sheetData>
  <mergeCells count="9">
    <mergeCell ref="D3:G3"/>
    <mergeCell ref="X34:AA34"/>
    <mergeCell ref="N34:Q34"/>
    <mergeCell ref="X19:AA19"/>
    <mergeCell ref="N19:Q19"/>
    <mergeCell ref="N3:Q3"/>
    <mergeCell ref="X3:AA3"/>
    <mergeCell ref="D19:G19"/>
    <mergeCell ref="D34:G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</dc:creator>
  <cp:lastModifiedBy>Niccuby</cp:lastModifiedBy>
  <dcterms:created xsi:type="dcterms:W3CDTF">2015-06-05T18:19:34Z</dcterms:created>
  <dcterms:modified xsi:type="dcterms:W3CDTF">2026-05-01T12:15:49Z</dcterms:modified>
</cp:coreProperties>
</file>